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Bicycle Sales Project\"/>
    </mc:Choice>
  </mc:AlternateContent>
  <xr:revisionPtr revIDLastSave="0" documentId="13_ncr:1_{D99EB8C7-AAE9-4297-8F6C-B647C37F2B4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icycle Sales Analysis" sheetId="1" r:id="rId1"/>
  </sheets>
  <calcPr calcId="191029"/>
  <pivotCaches>
    <pivotCache cacheId="31" r:id="rId2"/>
    <pivotCache cacheId="8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ffa70e3a-5a44-409a-b774-0b1445dce864 Model" type="5" refreshedVersion="8" background="1" refreshOnLoad="1">
    <dbPr connection="Provider=MSOLAP.8;Integrated Security=ClaimsToken;Persist Security Info=True;Initial Catalog=sobe_wowvirtualserver-ffa70e3a-5a44-409a-b774-0b1445dce864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<sst xmlns="http://schemas.openxmlformats.org/spreadsheetml/2006/main" count="35" uniqueCount="25">
  <si>
    <t>Column Labels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</si>
  <si>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</si>
  <si>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</si>
  <si>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</si>
  <si>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</si>
  <si>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</si>
  <si>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</si>
  <si>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</si>
  <si>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</si>
  <si>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</si>
  <si>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</si>
  <si>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</si>
  <si>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</si>
  <si>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Grand Total</t>
  </si>
  <si>
    <t>Row Labels</t>
  </si>
  <si>
    <t>2022</t>
  </si>
  <si>
    <t>2023</t>
  </si>
  <si>
    <t>2024</t>
  </si>
  <si>
    <t>2025</t>
  </si>
  <si>
    <t>SUMTotal</t>
  </si>
  <si>
    <t>Sort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</si>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</sst>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ahoma"/>
      <family val="2"/>
    </font>
    <font>
      <sz val="12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2"/>
      <color rgb="FF006100"/>
      <name val="Tahoma"/>
      <family val="2"/>
    </font>
    <font>
      <sz val="12"/>
      <color rgb="FF9C0006"/>
      <name val="Tahoma"/>
      <family val="2"/>
    </font>
    <font>
      <sz val="12"/>
      <color rgb="FF9C5700"/>
      <name val="Tahoma"/>
      <family val="2"/>
    </font>
    <font>
      <sz val="12"/>
      <color rgb="FF3F3F76"/>
      <name val="Tahoma"/>
      <family val="2"/>
    </font>
    <font>
      <b/>
      <sz val="12"/>
      <color rgb="FF3F3F3F"/>
      <name val="Tahoma"/>
      <family val="2"/>
    </font>
    <font>
      <b/>
      <sz val="12"/>
      <color rgb="FFFA7D00"/>
      <name val="Tahoma"/>
      <family val="2"/>
    </font>
    <font>
      <sz val="12"/>
      <color rgb="FFFA7D00"/>
      <name val="Tahoma"/>
      <family val="2"/>
    </font>
    <font>
      <b/>
      <sz val="12"/>
      <color theme="0"/>
      <name val="Tahoma"/>
      <family val="2"/>
    </font>
    <font>
      <sz val="12"/>
      <color rgb="FFFF0000"/>
      <name val="Tahoma"/>
      <family val="2"/>
    </font>
    <font>
      <i/>
      <sz val="12"/>
      <color rgb="FF7F7F7F"/>
      <name val="Tahoma"/>
      <family val="2"/>
    </font>
    <font>
      <b/>
      <sz val="12"/>
      <color theme="1"/>
      <name val="Tahoma"/>
      <family val="2"/>
    </font>
    <font>
      <sz val="12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braham Eninla" refreshedDate="46079.60658796296" backgroundQuery="1" createdVersion="6" refreshedVersion="8" minRefreshableVersion="3" recordCount="0" supportSubquery="1" supportAdvancedDrill="1" xr:uid="{00000000-000A-0000-FFFF-FFFF01000000}">
  <cacheSource type="external" connectionId="1"/>
  <cacheFields count="3">
    <cacheField name="[Calendar Table].[Month].[Month]" caption="Month" numFmtId="0" hierarchy="2" level="1">
      <sharedItems count="12">
        <s v="[Calendar Table].[Month].&amp;[April]" c="April"/>
        <s v="[Calendar Table].[Month].&amp;[August]" c="August"/>
        <s v="[Calendar Table].[Month].&amp;[December]" c="December"/>
        <s v="[Calendar Table].[Month].&amp;[February]" c="February"/>
        <s v="[Calendar Table].[Month].&amp;[January]" c="January"/>
        <s v="[Calendar Table].[Month].&amp;[July]" c="July"/>
        <s v="[Calendar Table].[Month].&amp;[June]" c="June"/>
        <s v="[Calendar Table].[Month].&amp;[March]" c="March"/>
        <s v="[Calendar Table].[Month].&amp;[May]" c="May"/>
        <s v="[Calendar Table].[Month].&amp;[November]" c="November"/>
        <s v="[Calendar Table].[Month].&amp;[October]" c="October"/>
        <s v="[Calendar Table].[Month].&amp;[September]" c="September"/>
      </sharedItems>
    </cacheField>
    <cacheField name="[Date].[Year].[Year]" caption="Year" numFmtId="0" hierarchy="13" level="1">
      <sharedItems count="4">
        <s v="[Date].[Year].&amp;[2022]" c="2022"/>
        <s v="[Date].[Year].&amp;[2023]" c="2023"/>
        <s v="[Date].[Year].&amp;[2024]" c="2024"/>
        <s v="[Date].[Year].&amp;[2025]" c="2025"/>
      </sharedItems>
    </cacheField>
    <cacheField name="[Measures].[SUMTotal]" caption="SUMTotal" numFmtId="0" hierarchy="65" level="32767"/>
  </cacheFields>
  <cacheHierarchies count="91">
    <cacheHierarchy uniqueName="[Breakdown].[Breakdown]" caption="Breakdown" attribute="1" defaultMemberUniqueName="[Breakdown].[Breakdown].[All]" allUniqueName="[Breakdown].[Breakdown].[All]" dimensionUniqueName="[Breakdown]" displayFolder="" count="0" memberValueDatatype="130" unbalanced="0"/>
    <cacheHierarchy uniqueName="[Calendar Table].[Date]" caption="Date" attribute="1" time="1" keyAttribute="1" defaultMemberUniqueName="[Calendar Table].[Date].[All]" allUniqueName="[Calendar Table].[Date].[All]" dimensionUniqueName="[Calendar Table]" displayFolder="" count="0" memberValueDatatype="7" unbalanced="0"/>
    <cacheHierarchy uniqueName="[Calendar Table].[Month]" caption="Month" attribute="1" time="1" defaultMemberUniqueName="[Calendar Table].[Month].[All]" allUniqueName="[Calendar Table].[Month].[All]" dimensionUniqueName="[Calendar Table]" displayFolder="" count="2" memberValueDatatype="130" unbalanced="0">
      <fieldsUsage count="2">
        <fieldUsage x="-1"/>
        <fieldUsage x="0"/>
      </fieldsUsage>
    </cacheHierarchy>
    <cacheHierarchy uniqueName="[Calendar Table].[Month Number]" caption="Month Number" attribute="1" time="1" defaultMemberUniqueName="[Calendar Table].[Month Number].[All]" allUniqueName="[Calendar Table].[Month Number].[All]" dimensionUniqueName="[Calendar Table]" displayFolder="" count="0" memberValueDatatype="20" unbalanced="0"/>
    <cacheHierarchy uniqueName="[Calendar Table].[Month Short]" caption="Month Short" attribute="1" time="1" defaultMemberUniqueName="[Calendar Table].[Month Short].[All]" allUniqueName="[Calendar Table].[Month Short].[All]" dimensionUniqueName="[Calendar Table]" displayFolder="" count="0" memberValueDatatype="130" unbalanced="0"/>
    <cacheHierarchy uniqueName="[Calendar Table].[Month Sort]" caption="Month Sort" attribute="1" time="1" defaultMemberUniqueName="[Calendar Table].[Month Sort].[All]" allUniqueName="[Calendar Table].[Month Sort].[All]" dimensionUniqueName="[Calendar Table]" displayFolder="" count="0" memberValueDatatype="20" unbalanced="0"/>
    <cacheHierarchy uniqueName="[Calendar Table].[Quarter]" caption="Quarter" attribute="1" time="1" defaultMemberUniqueName="[Calendar Table].[Quarter].[All]" allUniqueName="[Calendar Table].[Quarter].[All]" dimensionUniqueName="[Calendar Table]" displayFolder="" count="0" memberValueDatatype="130" unbalanced="0"/>
    <cacheHierarchy uniqueName="[Calendar Table].[Year]" caption="Year" attribute="1" time="1" defaultMemberUniqueName="[Calendar Table].[Year].[All]" allUniqueName="[Calendar Table].[Year].[All]" dimensionUniqueName="[Calendar Table]" displayFolder="" count="0" memberValueDatatype="20" unbalanced="0"/>
    <cacheHierarchy uniqueName="[Calendar Table].[Year Quarter]" caption="Year Quarter" attribute="1" time="1" defaultMemberUniqueName="[Calendar Table].[Year Quarter].[All]" allUniqueName="[Calendar Table].[Year Quarter].[All]" dimensionUniqueName="[Calendar Table]" displayFolder="" count="0" memberValueDatatype="130" unbalanced="0"/>
    <cacheHierarchy uniqueName="[Calendar Table].[YearMonth]" caption="YearMonth" attribute="1" time="1" defaultMemberUniqueName="[Calendar Table].[YearMonth].[All]" allUniqueName="[Calendar Table].[YearMonth].[All]" dimensionUniqueName="[Calendar Table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MonthNum]" caption="MonthNum" attribute="1" defaultMemberUniqueName="[Date].[MonthNum].[All]" allUniqueName="[Date].[MonthNum].[All]" dimensionUniqueName="[Date]" displayFolder="" count="0" memberValueDatatype="20" unbalanced="0"/>
    <cacheHierarchy uniqueName="[Date].[Year]" caption="Year" attribute="1" defaultMemberUniqueName="[Date].[Year].[All]" allUniqueName="[Date].[Year].[All]" dimensionUniqueName="[Date]" displayFolder="" count="2" memberValueDatatype="20" unbalanced="0">
      <fieldsUsage count="2">
        <fieldUsage x="-1"/>
        <fieldUsage x="1"/>
      </fieldsUsage>
    </cacheHierarchy>
    <cacheHierarchy uniqueName="[Measures ].[Measures ]" caption="Measures " attribute="1" defaultMemberUniqueName="[Measures ].[Measures ].[All]" allUniqueName="[Measures ].[Measures ].[All]" dimensionUniqueName="[Measures ]" displayFolder="" count="0" memberValueDatatype="130" unbalanced="0"/>
    <cacheHierarchy uniqueName="[Products].[Background Color Format]" caption="Background Color Format" attribute="1" defaultMemberUniqueName="[Products].[Background Color Format].[All]" allUniqueName="[Products].[Background Color Format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ategory ID]" caption="Category ID" attribute="1" defaultMemberUniqueName="[Products].[Category ID].[All]" allUniqueName="[Products].[Category ID].[All]" dimensionUniqueName="[Products]" displayFolder="" count="0" memberValueDatatype="2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Font Color Format]" caption="Font Color Format" attribute="1" defaultMemberUniqueName="[Products].[Font Color Format].[All]" allUniqueName="[Products].[Font Color Format].[All]" dimensionUniqueName="[Produc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20" unbalanced="0"/>
    <cacheHierarchy uniqueName="[Products].[Standard Cost]" caption="Standard Cost" attribute="1" defaultMemberUniqueName="[Products].[Standard Cost].[All]" allUniqueName="[Products].[Standard Cost].[All]" dimensionUniqueName="[Products]" displayFolder="" count="0" memberValueDatatype="5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Subcategory ID]" caption="Subcategory ID" attribute="1" defaultMemberUniqueName="[Products].[Subcategory ID].[All]" allUniqueName="[Products].[Subcategory ID].[All]" dimensionUniqueName="[Products]" displayFolder="" count="0" memberValueDatatype="2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Breakdown].[Breakdown Fields]" caption="Breakdown Fields" attribute="1" defaultMemberUniqueName="[Breakdown].[Breakdown Fields].[All]" allUniqueName="[Breakdown].[Breakdown Fields].[All]" dimensionUniqueName="[Breakdown]" displayFolder="" count="0" memberValueDatatype="130" unbalanced="0" hidden="1"/>
    <cacheHierarchy uniqueName="[Breakdown].[Breakdown Order]" caption="Breakdown Order" attribute="1" defaultMemberUniqueName="[Breakdown].[Breakdown Order].[All]" allUniqueName="[Breakdown].[Breakdown Order].[All]" dimensionUniqueName="[Breakdown]" displayFolder="" count="0" memberValueDatatype="20" unbalanced="0" hidden="1"/>
    <cacheHierarchy uniqueName="[DateTableTemplate_a0995974-c6b2-4da5-a15b-11c18ca71e9d].[Date]" caption="Date" attribute="1" time="1" defaultMemberUniqueName="[DateTableTemplate_a0995974-c6b2-4da5-a15b-11c18ca71e9d].[Date].[All]" allUniqueName="[DateTableTemplate_a0995974-c6b2-4da5-a15b-11c18ca71e9d].[Date].[All]" dimensionUniqueName="[DateTableTemplate_a0995974-c6b2-4da5-a15b-11c18ca71e9d]" displayFolder="" count="0" memberValueDatatype="7" unbalanced="0" hidden="1"/>
    <cacheHierarchy uniqueName="[DateTableTemplate_a0995974-c6b2-4da5-a15b-11c18ca71e9d].[Date Hierarchy]" caption="Date Hierarchy" defaultMemberUniqueName="[DateTableTemplate_a0995974-c6b2-4da5-a15b-11c18ca71e9d].[Date Hierarchy].[All]" allUniqueName="[DateTableTemplate_a0995974-c6b2-4da5-a15b-11c18ca71e9d].[Date Hierarchy].[All]" dimensionUniqueName="[DateTableTemplate_a0995974-c6b2-4da5-a15b-11c18ca71e9d]" displayFolder="" count="0" unbalanced="0" hidden="1"/>
    <cacheHierarchy uniqueName="[DateTableTemplate_a0995974-c6b2-4da5-a15b-11c18ca71e9d].[Day]" caption="Day" attribute="1" defaultMemberUniqueName="[DateTableTemplate_a0995974-c6b2-4da5-a15b-11c18ca71e9d].[Day].[All]" allUniqueName="[DateTableTemplate_a0995974-c6b2-4da5-a15b-11c18ca71e9d].[Day].[All]" dimensionUniqueName="[DateTableTemplate_a0995974-c6b2-4da5-a15b-11c18ca71e9d]" displayFolder="" count="0" memberValueDatatype="20" unbalanced="0" hidden="1"/>
    <cacheHierarchy uniqueName="[DateTableTemplate_a0995974-c6b2-4da5-a15b-11c18ca71e9d].[Month]" caption="Month" attribute="1" defaultMemberUniqueName="[DateTableTemplate_a0995974-c6b2-4da5-a15b-11c18ca71e9d].[Month].[All]" allUniqueName="[DateTableTemplate_a0995974-c6b2-4da5-a15b-11c18ca71e9d].[Month].[All]" dimensionUniqueName="[DateTableTemplate_a0995974-c6b2-4da5-a15b-11c18ca71e9d]" displayFolder="" count="0" memberValueDatatype="130" unbalanced="0" hidden="1"/>
    <cacheHierarchy uniqueName="[DateTableTemplate_a0995974-c6b2-4da5-a15b-11c18ca71e9d].[MonthNo]" caption="MonthNo" attribute="1" defaultMemberUniqueName="[DateTableTemplate_a0995974-c6b2-4da5-a15b-11c18ca71e9d].[MonthNo].[All]" allUniqueName="[DateTableTemplate_a0995974-c6b2-4da5-a15b-11c18ca71e9d].[MonthNo].[All]" dimensionUniqueName="[DateTableTemplate_a0995974-c6b2-4da5-a15b-11c18ca71e9d]" displayFolder="" count="0" memberValueDatatype="20" unbalanced="0" hidden="1"/>
    <cacheHierarchy uniqueName="[DateTableTemplate_a0995974-c6b2-4da5-a15b-11c18ca71e9d].[Quarter]" caption="Quarter" attribute="1" defaultMemberUniqueName="[DateTableTemplate_a0995974-c6b2-4da5-a15b-11c18ca71e9d].[Quarter].[All]" allUniqueName="[DateTableTemplate_a0995974-c6b2-4da5-a15b-11c18ca71e9d].[Quarter].[All]" dimensionUniqueName="[DateTableTemplate_a0995974-c6b2-4da5-a15b-11c18ca71e9d]" displayFolder="" count="0" memberValueDatatype="130" unbalanced="0" hidden="1"/>
    <cacheHierarchy uniqueName="[DateTableTemplate_a0995974-c6b2-4da5-a15b-11c18ca71e9d].[QuarterNo]" caption="QuarterNo" attribute="1" defaultMemberUniqueName="[DateTableTemplate_a0995974-c6b2-4da5-a15b-11c18ca71e9d].[QuarterNo].[All]" allUniqueName="[DateTableTemplate_a0995974-c6b2-4da5-a15b-11c18ca71e9d].[QuarterNo].[All]" dimensionUniqueName="[DateTableTemplate_a0995974-c6b2-4da5-a15b-11c18ca71e9d]" displayFolder="" count="0" memberValueDatatype="20" unbalanced="0" hidden="1"/>
    <cacheHierarchy uniqueName="[DateTableTemplate_a0995974-c6b2-4da5-a15b-11c18ca71e9d].[Year]" caption="Year" attribute="1" defaultMemberUniqueName="[DateTableTemplate_a0995974-c6b2-4da5-a15b-11c18ca71e9d].[Year].[All]" allUniqueName="[DateTableTemplate_a0995974-c6b2-4da5-a15b-11c18ca71e9d].[Year].[All]" dimensionUniqueName="[DateTableTemplate_a0995974-c6b2-4da5-a15b-11c18ca71e9d]" displayFolder="" count="0" memberValueDatatype="20" unbalanced="0" hidden="1"/>
    <cacheHierarchy uniqueName="[LocalDateTable_8352efd8-3343-4232-be96-f1fdc38c8b76].[Date]" caption="Date" attribute="1" time="1" defaultMemberUniqueName="[LocalDateTable_8352efd8-3343-4232-be96-f1fdc38c8b76].[Date].[All]" allUniqueName="[LocalDateTable_8352efd8-3343-4232-be96-f1fdc38c8b76].[Date].[All]" dimensionUniqueName="[LocalDateTable_8352efd8-3343-4232-be96-f1fdc38c8b76]" displayFolder="" count="0" memberValueDatatype="7" unbalanced="0" hidden="1"/>
    <cacheHierarchy uniqueName="[LocalDateTable_8352efd8-3343-4232-be96-f1fdc38c8b76].[Date Hierarchy]" caption="Date Hierarchy" defaultMemberUniqueName="[LocalDateTable_8352efd8-3343-4232-be96-f1fdc38c8b76].[Date Hierarchy].[All]" allUniqueName="[LocalDateTable_8352efd8-3343-4232-be96-f1fdc38c8b76].[Date Hierarchy].[All]" dimensionUniqueName="[LocalDateTable_8352efd8-3343-4232-be96-f1fdc38c8b76]" displayFolder="" count="0" unbalanced="0" hidden="1"/>
    <cacheHierarchy uniqueName="[LocalDateTable_8352efd8-3343-4232-be96-f1fdc38c8b76].[Day]" caption="Day" attribute="1" defaultMemberUniqueName="[LocalDateTable_8352efd8-3343-4232-be96-f1fdc38c8b76].[Day].[All]" allUniqueName="[LocalDateTable_8352efd8-3343-4232-be96-f1fdc38c8b76].[Day].[All]" dimensionUniqueName="[LocalDateTable_8352efd8-3343-4232-be96-f1fdc38c8b76]" displayFolder="" count="0" memberValueDatatype="20" unbalanced="0" hidden="1"/>
    <cacheHierarchy uniqueName="[LocalDateTable_8352efd8-3343-4232-be96-f1fdc38c8b76].[Month]" caption="Month" attribute="1" defaultMemberUniqueName="[LocalDateTable_8352efd8-3343-4232-be96-f1fdc38c8b76].[Month].[All]" allUniqueName="[LocalDateTable_8352efd8-3343-4232-be96-f1fdc38c8b76].[Month].[All]" dimensionUniqueName="[LocalDateTable_8352efd8-3343-4232-be96-f1fdc38c8b76]" displayFolder="" count="0" memberValueDatatype="130" unbalanced="0" hidden="1"/>
    <cacheHierarchy uniqueName="[LocalDateTable_8352efd8-3343-4232-be96-f1fdc38c8b76].[MonthNo]" caption="MonthNo" attribute="1" defaultMemberUniqueName="[LocalDateTable_8352efd8-3343-4232-be96-f1fdc38c8b76].[MonthNo].[All]" allUniqueName="[LocalDateTable_8352efd8-3343-4232-be96-f1fdc38c8b76].[MonthNo].[All]" dimensionUniqueName="[LocalDateTable_8352efd8-3343-4232-be96-f1fdc38c8b76]" displayFolder="" count="0" memberValueDatatype="20" unbalanced="0" hidden="1"/>
    <cacheHierarchy uniqueName="[LocalDateTable_8352efd8-3343-4232-be96-f1fdc38c8b76].[Quarter]" caption="Quarter" attribute="1" defaultMemberUniqueName="[LocalDateTable_8352efd8-3343-4232-be96-f1fdc38c8b76].[Quarter].[All]" allUniqueName="[LocalDateTable_8352efd8-3343-4232-be96-f1fdc38c8b76].[Quarter].[All]" dimensionUniqueName="[LocalDateTable_8352efd8-3343-4232-be96-f1fdc38c8b76]" displayFolder="" count="0" memberValueDatatype="130" unbalanced="0" hidden="1"/>
    <cacheHierarchy uniqueName="[LocalDateTable_8352efd8-3343-4232-be96-f1fdc38c8b76].[QuarterNo]" caption="QuarterNo" attribute="1" defaultMemberUniqueName="[LocalDateTable_8352efd8-3343-4232-be96-f1fdc38c8b76].[QuarterNo].[All]" allUniqueName="[LocalDateTable_8352efd8-3343-4232-be96-f1fdc38c8b76].[QuarterNo].[All]" dimensionUniqueName="[LocalDateTable_8352efd8-3343-4232-be96-f1fdc38c8b76]" displayFolder="" count="0" memberValueDatatype="20" unbalanced="0" hidden="1"/>
    <cacheHierarchy uniqueName="[LocalDateTable_8352efd8-3343-4232-be96-f1fdc38c8b76].[Year]" caption="Year" attribute="1" defaultMemberUniqueName="[LocalDateTable_8352efd8-3343-4232-be96-f1fdc38c8b76].[Year].[All]" allUniqueName="[LocalDateTable_8352efd8-3343-4232-be96-f1fdc38c8b76].[Year].[All]" dimensionUniqueName="[LocalDateTable_8352efd8-3343-4232-be96-f1fdc38c8b76]" displayFolder="" count="0" memberValueDatatype="20" unbalanced="0" hidden="1"/>
    <cacheHierarchy uniqueName="[Measures ].[Measures  Fields]" caption="Measures  Fields" attribute="1" defaultMemberUniqueName="[Measures ].[Measures  Fields].[All]" allUniqueName="[Measures ].[Measures  Fields].[All]" dimensionUniqueName="[Measures ]" displayFolder="" count="0" memberValueDatatype="130" unbalanced="0" hidden="1"/>
    <cacheHierarchy uniqueName="[Measures ].[Measures  Order]" caption="Measures  Order" attribute="1" defaultMemberUniqueName="[Measures ].[Measures  Order].[All]" allUniqueName="[Measures ].[Measures  Order].[All]" dimensionUniqueName="[Measures ]" displayFolder="" count="0" memberValueDatatype="20" unbalanced="0" hidden="1"/>
    <cacheHierarchy uniqueName="[Measures].[SUMTotal]" caption="SUMTotal" measure="1" displayFolder="" measureGroup="Sales" count="0" oneField="1">
      <fieldsUsage count="1">
        <fieldUsage x="2"/>
      </fieldsUsage>
    </cacheHierarchy>
    <cacheHierarchy uniqueName="[Measures].[Total Cost]" caption="Total Cost" measure="1" displayFolder="" measureGroup="Sales" count="0"/>
    <cacheHierarchy uniqueName="[Measures].[Total Quantity]" caption="Total Quantity" measure="1" displayFolder="" measureGroup="Sales" count="0"/>
    <cacheHierarchy uniqueName="[Measures].[Total Profit]" caption="Total Profit" measure="1" displayFolder="" measureGroup="Sales" count="0"/>
    <cacheHierarchy uniqueName="[Measures].[Profit Margin]" caption="Profit Margin" measure="1" displayFolder="" measureGroup="Sales" count="0"/>
    <cacheHierarchy uniqueName="[Measures].[Sales YTD]" caption="Sales YTD" measure="1" displayFolder="" measureGroup="Sales" count="0"/>
    <cacheHierarchy uniqueName="[Measures].[Profit YTD]" caption="Profit YTD" measure="1" displayFolder="" measureGroup="Sales" count="0"/>
    <cacheHierarchy uniqueName="[Measures].[Quantity YTD]" caption="Quantity YTD" measure="1" displayFolder="" measureGroup="Sales" count="0"/>
    <cacheHierarchy uniqueName="[Measures].[Sales Growth]" caption="Sales Growth" measure="1" displayFolder="" measureGroup="Sales" count="0"/>
    <cacheHierarchy uniqueName="[Measures].[Sales Growth %]" caption="Sales Growth %" measure="1" displayFolder="" measureGroup="Sales" count="0"/>
    <cacheHierarchy uniqueName="[Measures].[Sales PY]" caption="Sales PY" measure="1" displayFolder="" measureGroup="Sales" count="0"/>
    <cacheHierarchy uniqueName="[Measures].[Sales PM]" caption="Sales PM" measure="1" displayFolder="" measureGroup="Sales" count="0"/>
    <cacheHierarchy uniqueName="[Measures].[MoM Growth]" caption="MoM Growth" measure="1" displayFolder="" measureGroup="Sales" count="0"/>
    <cacheHierarchy uniqueName="[Measures].[MoM Growth %]" caption="MoM Growth %" measure="1" displayFolder="" measureGroup="Sales" count="0"/>
    <cacheHierarchy uniqueName="[Measures].[Rolling 12 Month Sales]" caption="Rolling 12 Month Sales" measure="1" displayFolder="" measureGroup="Sales" count="0"/>
    <cacheHierarchy uniqueName="[Measures].[3 Month Moving Avg]" caption="3 Month Moving Avg" measure="1" displayFolder="" measureGroup="Sales" count="0"/>
    <cacheHierarchy uniqueName="[Measures].[Category Sales YTD]" caption="Category Sales YTD" measure="1" displayFolder="" measureGroup="Sales" count="0"/>
    <cacheHierarchy uniqueName="[Measures].[Region Sales PY]" caption="Region Sales PY" measure="1" displayFolder="" measureGroup="Sales" count="0"/>
    <cacheHierarchy uniqueName="[Measures].[Country vs Previous Year]" caption="Country vs Previous Year" measure="1" displayFolder="" measureGroup="Sales" count="0"/>
    <cacheHierarchy uniqueName="[Measures].[Revenue Growth %]" caption="Revenue Growth %" measure="1" displayFolder="" measureGroup="Sales" count="0"/>
    <cacheHierarchy uniqueName="[Measures].[Profit Growth]" caption="Profit Growth" measure="1" displayFolder="" measureGroup="Sales" count="0"/>
    <cacheHierarchy uniqueName="[Measures].[Best Month]" caption="Best Month" measure="1" displayFolder="" measureGroup="Sales" count="0"/>
    <cacheHierarchy uniqueName="[Measures].[Salesperson YTD]" caption="Salesperson YTD" measure="1" displayFolder="" measureGroup="Sales" count="0"/>
    <cacheHierarchy uniqueName="[Measures].[YoY Growth]" caption="YoY Growth" measure="1" displayFolder="" measureGroup="Sales" count="0"/>
    <cacheHierarchy uniqueName="[Measures].[YoY Growth %]" caption="YoY Growth %" measure="1" displayFolder="" measureGroup="Sales" count="0"/>
    <cacheHierarchy uniqueName="[Measures].[__Default measure]" caption="__Default measure" measure="1" displayFolder="" count="0" hidden="1"/>
  </cacheHierarchies>
  <kpis count="0"/>
  <dimensions count="9">
    <dimension name="Breakdown" uniqueName="[Breakdown]" caption="Breakdown"/>
    <dimension name="Calendar Table" uniqueName="[Calendar Table]" caption="Calendar Table"/>
    <dimension name="Date" uniqueName="[Date]" caption="Date"/>
    <dimension measure="1" name="Measures" uniqueName="[Measures]" caption="Measures"/>
    <dimension name="Measures " uniqueName="[Measures ]" caption="Measures "/>
    <dimension name="Products" uniqueName="[Products]" caption="Products"/>
    <dimension name="Region" uniqueName="[Region]" caption="Region"/>
    <dimension name="Sales" uniqueName="[Sales]" caption="Sales"/>
    <dimension name="Salesperson" uniqueName="[Salesperson]" caption="Salesperson"/>
  </dimensions>
  <measureGroups count="10">
    <measureGroup name="Breakdown" caption="Breakdown"/>
    <measureGroup name="Calendar Table" caption="Calendar Table"/>
    <measureGroup name="Date" caption="Date"/>
    <measureGroup name="DateTableTemplate_a0995974-c6b2-4da5-a15b-11c18ca71e9d" caption="DateTableTemplate_a0995974-c6b2-4da5-a15b-11c18ca71e9d"/>
    <measureGroup name="LocalDateTable_8352efd8-3343-4232-be96-f1fdc38c8b76" caption="LocalDateTable_8352efd8-3343-4232-be96-f1fdc38c8b76"/>
    <measureGroup name="Measures " caption="Measures "/>
    <measureGroup name="Products" caption="Products"/>
    <measureGroup name="Region" caption="Region"/>
    <measureGroup name="Sales" caption="Sales"/>
    <measureGroup name="Salesperson" caption="Salesperson"/>
  </measureGroups>
  <maps count="13">
    <map measureGroup="0" dimension="0"/>
    <map measureGroup="1" dimension="1"/>
    <map measureGroup="2" dimension="2"/>
    <map measureGroup="5" dimension="4"/>
    <map measureGroup="6" dimension="5"/>
    <map measureGroup="7" dimension="6"/>
    <map measureGroup="8" dimension="1"/>
    <map measureGroup="8" dimension="2"/>
    <map measureGroup="8" dimension="5"/>
    <map measureGroup="8" dimension="6"/>
    <map measureGroup="8" dimension="7"/>
    <map measureGroup="8" dimension="8"/>
    <map measureGroup="9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braham Eninla" refreshedDate="46079.610285532406" backgroundQuery="1" createdVersion="6" refreshedVersion="8" minRefreshableVersion="3" recordCount="0" supportSubquery="1" supportAdvancedDrill="1" xr:uid="{2EAB559F-B990-42C0-9E2D-256B5C65845F}">
  <cacheSource type="external" connectionId="1"/>
  <cacheFields count="4">
    <cacheField name="[Calendar Table].[Month].[Month]" caption="Month" numFmtId="0" hierarchy="2" level="1">
      <sharedItems count="12">
        <s v="[Calendar Table].[Month].&amp;[April]" c="April"/>
        <s v="[Calendar Table].[Month].&amp;[August]" c="August"/>
        <s v="[Calendar Table].[Month].&amp;[December]" c="December"/>
        <s v="[Calendar Table].[Month].&amp;[February]" c="February"/>
        <s v="[Calendar Table].[Month].&amp;[January]" c="January"/>
        <s v="[Calendar Table].[Month].&amp;[July]" c="July"/>
        <s v="[Calendar Table].[Month].&amp;[June]" c="June"/>
        <s v="[Calendar Table].[Month].&amp;[March]" c="March"/>
        <s v="[Calendar Table].[Month].&amp;[May]" c="May"/>
        <s v="[Calendar Table].[Month].&amp;[November]" c="November"/>
        <s v="[Calendar Table].[Month].&amp;[October]" c="October"/>
        <s v="[Calendar Table].[Month].&amp;[September]" c="September"/>
      </sharedItems>
    </cacheField>
    <cacheField name="[Measures].[SUMTotal]" caption="SUMTotal" numFmtId="0" hierarchy="65" level="32767"/>
    <cacheField name="[Calendar Table].[Year].[Year]" caption="Year" numFmtId="0" hierarchy="7" level="1">
      <sharedItems count="4">
        <s v="[Calendar Table].[Year].&amp;[2022]" c="2022"/>
        <s v="[Calendar Table].[Year].&amp;[2023]" c="2023"/>
        <s v="[Calendar Table].[Year].&amp;[2024]" c="2024"/>
        <s v="[Calendar Table].[Year].&amp;[2025]" c="2025"/>
      </sharedItems>
    </cacheField>
    <cacheField name="[Calendar Table].[Quarter].[Quarter]" caption="Quarter" numFmtId="0" hierarchy="6" level="1">
      <sharedItems count="4">
        <s v="[Calendar Table].[Quarter].&amp;[Q1]" c="Q1"/>
        <s v="[Calendar Table].[Quarter].&amp;[Q2]" c="Q2"/>
        <s v="[Calendar Table].[Quarter].&amp;[Q3]" c="Q3"/>
        <s v="[Calendar Table].[Quarter].&amp;[Q4]" c="Q4"/>
      </sharedItems>
    </cacheField>
  </cacheFields>
  <cacheHierarchies count="91">
    <cacheHierarchy uniqueName="[Breakdown].[Breakdown]" caption="Breakdown" attribute="1" defaultMemberUniqueName="[Breakdown].[Breakdown].[All]" allUniqueName="[Breakdown].[Breakdown].[All]" dimensionUniqueName="[Breakdown]" displayFolder="" count="2" memberValueDatatype="130" unbalanced="0"/>
    <cacheHierarchy uniqueName="[Calendar Table].[Date]" caption="Date" attribute="1" time="1" keyAttribute="1" defaultMemberUniqueName="[Calendar Table].[Date].[All]" allUniqueName="[Calendar Table].[Date].[All]" dimensionUniqueName="[Calendar Table]" displayFolder="" count="0" memberValueDatatype="7" unbalanced="0"/>
    <cacheHierarchy uniqueName="[Calendar Table].[Month]" caption="Month" attribute="1" time="1" defaultMemberUniqueName="[Calendar Table].[Month].[All]" allUniqueName="[Calendar Table].[Month].[All]" dimensionUniqueName="[Calendar Table]" displayFolder="" count="2" memberValueDatatype="130" unbalanced="0">
      <fieldsUsage count="2">
        <fieldUsage x="-1"/>
        <fieldUsage x="0"/>
      </fieldsUsage>
    </cacheHierarchy>
    <cacheHierarchy uniqueName="[Calendar Table].[Month Number]" caption="Month Number" attribute="1" time="1" defaultMemberUniqueName="[Calendar Table].[Month Number].[All]" allUniqueName="[Calendar Table].[Month Number].[All]" dimensionUniqueName="[Calendar Table]" displayFolder="" count="0" memberValueDatatype="20" unbalanced="0"/>
    <cacheHierarchy uniqueName="[Calendar Table].[Month Short]" caption="Month Short" attribute="1" time="1" defaultMemberUniqueName="[Calendar Table].[Month Short].[All]" allUniqueName="[Calendar Table].[Month Short].[All]" dimensionUniqueName="[Calendar Table]" displayFolder="" count="0" memberValueDatatype="130" unbalanced="0"/>
    <cacheHierarchy uniqueName="[Calendar Table].[Month Sort]" caption="Month Sort" attribute="1" time="1" defaultMemberUniqueName="[Calendar Table].[Month Sort].[All]" allUniqueName="[Calendar Table].[Month Sort].[All]" dimensionUniqueName="[Calendar Table]" displayFolder="" count="0" memberValueDatatype="20" unbalanced="0"/>
    <cacheHierarchy uniqueName="[Calendar Table].[Quarter]" caption="Quarter" attribute="1" time="1" defaultMemberUniqueName="[Calendar Table].[Quarter].[All]" allUniqueName="[Calendar Table].[Quarter].[All]" dimensionUniqueName="[Calendar Table]" displayFolder="" count="2" memberValueDatatype="130" unbalanced="0">
      <fieldsUsage count="2">
        <fieldUsage x="-1"/>
        <fieldUsage x="3"/>
      </fieldsUsage>
    </cacheHierarchy>
    <cacheHierarchy uniqueName="[Calendar Table].[Year]" caption="Year" attribute="1" time="1" defaultMemberUniqueName="[Calendar Table].[Year].[All]" allUniqueName="[Calendar Table].[Year].[All]" dimensionUniqueName="[Calendar Table]" displayFolder="" count="2" memberValueDatatype="20" unbalanced="0">
      <fieldsUsage count="2">
        <fieldUsage x="-1"/>
        <fieldUsage x="2"/>
      </fieldsUsage>
    </cacheHierarchy>
    <cacheHierarchy uniqueName="[Calendar Table].[Year Quarter]" caption="Year Quarter" attribute="1" time="1" defaultMemberUniqueName="[Calendar Table].[Year Quarter].[All]" allUniqueName="[Calendar Table].[Year Quarter].[All]" dimensionUniqueName="[Calendar Table]" displayFolder="" count="2" memberValueDatatype="130" unbalanced="0"/>
    <cacheHierarchy uniqueName="[Calendar Table].[YearMonth]" caption="YearMonth" attribute="1" time="1" defaultMemberUniqueName="[Calendar Table].[YearMonth].[All]" allUniqueName="[Calendar Table].[YearMonth].[All]" dimensionUniqueName="[Calendar Table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MonthNum]" caption="MonthNum" attribute="1" defaultMemberUniqueName="[Date].[MonthNum].[All]" allUniqueName="[Date].[MonthNum].[All]" dimensionUniqueName="[Date]" displayFolder="" count="0" memberValueDatatype="20" unbalanced="0"/>
    <cacheHierarchy uniqueName="[Date].[Year]" caption="Year" attribute="1" defaultMemberUniqueName="[Date].[Year].[All]" allUniqueName="[Date].[Year].[All]" dimensionUniqueName="[Date]" displayFolder="" count="2" memberValueDatatype="20" unbalanced="0"/>
    <cacheHierarchy uniqueName="[Measures ].[Measures ]" caption="Measures " attribute="1" defaultMemberUniqueName="[Measures ].[Measures ].[All]" allUniqueName="[Measures ].[Measures ].[All]" dimensionUniqueName="[Measures ]" displayFolder="" count="0" memberValueDatatype="130" unbalanced="0"/>
    <cacheHierarchy uniqueName="[Products].[Background Color Format]" caption="Background Color Format" attribute="1" defaultMemberUniqueName="[Products].[Background Color Format].[All]" allUniqueName="[Products].[Background Color Format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ategory ID]" caption="Category ID" attribute="1" defaultMemberUniqueName="[Products].[Category ID].[All]" allUniqueName="[Products].[Category ID].[All]" dimensionUniqueName="[Products]" displayFolder="" count="0" memberValueDatatype="2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Font Color Format]" caption="Font Color Format" attribute="1" defaultMemberUniqueName="[Products].[Font Color Format].[All]" allUniqueName="[Products].[Font Color Format].[All]" dimensionUniqueName="[Produc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20" unbalanced="0"/>
    <cacheHierarchy uniqueName="[Products].[Standard Cost]" caption="Standard Cost" attribute="1" defaultMemberUniqueName="[Products].[Standard Cost].[All]" allUniqueName="[Products].[Standard Cost].[All]" dimensionUniqueName="[Products]" displayFolder="" count="0" memberValueDatatype="5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Subcategory ID]" caption="Subcategory ID" attribute="1" defaultMemberUniqueName="[Products].[Subcategory ID].[All]" allUniqueName="[Products].[Subcategory ID].[All]" dimensionUniqueName="[Products]" displayFolder="" count="0" memberValueDatatype="2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Breakdown].[Breakdown Fields]" caption="Breakdown Fields" attribute="1" defaultMemberUniqueName="[Breakdown].[Breakdown Fields].[All]" allUniqueName="[Breakdown].[Breakdown Fields].[All]" dimensionUniqueName="[Breakdown]" displayFolder="" count="0" memberValueDatatype="130" unbalanced="0" hidden="1"/>
    <cacheHierarchy uniqueName="[Breakdown].[Breakdown Order]" caption="Breakdown Order" attribute="1" defaultMemberUniqueName="[Breakdown].[Breakdown Order].[All]" allUniqueName="[Breakdown].[Breakdown Order].[All]" dimensionUniqueName="[Breakdown]" displayFolder="" count="0" memberValueDatatype="20" unbalanced="0" hidden="1"/>
    <cacheHierarchy uniqueName="[DateTableTemplate_a0995974-c6b2-4da5-a15b-11c18ca71e9d].[Date]" caption="Date" attribute="1" time="1" defaultMemberUniqueName="[DateTableTemplate_a0995974-c6b2-4da5-a15b-11c18ca71e9d].[Date].[All]" allUniqueName="[DateTableTemplate_a0995974-c6b2-4da5-a15b-11c18ca71e9d].[Date].[All]" dimensionUniqueName="[DateTableTemplate_a0995974-c6b2-4da5-a15b-11c18ca71e9d]" displayFolder="" count="0" memberValueDatatype="7" unbalanced="0" hidden="1"/>
    <cacheHierarchy uniqueName="[DateTableTemplate_a0995974-c6b2-4da5-a15b-11c18ca71e9d].[Date Hierarchy]" caption="Date Hierarchy" defaultMemberUniqueName="[DateTableTemplate_a0995974-c6b2-4da5-a15b-11c18ca71e9d].[Date Hierarchy].[All]" allUniqueName="[DateTableTemplate_a0995974-c6b2-4da5-a15b-11c18ca71e9d].[Date Hierarchy].[All]" dimensionUniqueName="[DateTableTemplate_a0995974-c6b2-4da5-a15b-11c18ca71e9d]" displayFolder="" count="0" unbalanced="0" hidden="1"/>
    <cacheHierarchy uniqueName="[DateTableTemplate_a0995974-c6b2-4da5-a15b-11c18ca71e9d].[Day]" caption="Day" attribute="1" defaultMemberUniqueName="[DateTableTemplate_a0995974-c6b2-4da5-a15b-11c18ca71e9d].[Day].[All]" allUniqueName="[DateTableTemplate_a0995974-c6b2-4da5-a15b-11c18ca71e9d].[Day].[All]" dimensionUniqueName="[DateTableTemplate_a0995974-c6b2-4da5-a15b-11c18ca71e9d]" displayFolder="" count="0" memberValueDatatype="20" unbalanced="0" hidden="1"/>
    <cacheHierarchy uniqueName="[DateTableTemplate_a0995974-c6b2-4da5-a15b-11c18ca71e9d].[Month]" caption="Month" attribute="1" defaultMemberUniqueName="[DateTableTemplate_a0995974-c6b2-4da5-a15b-11c18ca71e9d].[Month].[All]" allUniqueName="[DateTableTemplate_a0995974-c6b2-4da5-a15b-11c18ca71e9d].[Month].[All]" dimensionUniqueName="[DateTableTemplate_a0995974-c6b2-4da5-a15b-11c18ca71e9d]" displayFolder="" count="0" memberValueDatatype="130" unbalanced="0" hidden="1"/>
    <cacheHierarchy uniqueName="[DateTableTemplate_a0995974-c6b2-4da5-a15b-11c18ca71e9d].[MonthNo]" caption="MonthNo" attribute="1" defaultMemberUniqueName="[DateTableTemplate_a0995974-c6b2-4da5-a15b-11c18ca71e9d].[MonthNo].[All]" allUniqueName="[DateTableTemplate_a0995974-c6b2-4da5-a15b-11c18ca71e9d].[MonthNo].[All]" dimensionUniqueName="[DateTableTemplate_a0995974-c6b2-4da5-a15b-11c18ca71e9d]" displayFolder="" count="0" memberValueDatatype="20" unbalanced="0" hidden="1"/>
    <cacheHierarchy uniqueName="[DateTableTemplate_a0995974-c6b2-4da5-a15b-11c18ca71e9d].[Quarter]" caption="Quarter" attribute="1" defaultMemberUniqueName="[DateTableTemplate_a0995974-c6b2-4da5-a15b-11c18ca71e9d].[Quarter].[All]" allUniqueName="[DateTableTemplate_a0995974-c6b2-4da5-a15b-11c18ca71e9d].[Quarter].[All]" dimensionUniqueName="[DateTableTemplate_a0995974-c6b2-4da5-a15b-11c18ca71e9d]" displayFolder="" count="0" memberValueDatatype="130" unbalanced="0" hidden="1"/>
    <cacheHierarchy uniqueName="[DateTableTemplate_a0995974-c6b2-4da5-a15b-11c18ca71e9d].[QuarterNo]" caption="QuarterNo" attribute="1" defaultMemberUniqueName="[DateTableTemplate_a0995974-c6b2-4da5-a15b-11c18ca71e9d].[QuarterNo].[All]" allUniqueName="[DateTableTemplate_a0995974-c6b2-4da5-a15b-11c18ca71e9d].[QuarterNo].[All]" dimensionUniqueName="[DateTableTemplate_a0995974-c6b2-4da5-a15b-11c18ca71e9d]" displayFolder="" count="0" memberValueDatatype="20" unbalanced="0" hidden="1"/>
    <cacheHierarchy uniqueName="[DateTableTemplate_a0995974-c6b2-4da5-a15b-11c18ca71e9d].[Year]" caption="Year" attribute="1" defaultMemberUniqueName="[DateTableTemplate_a0995974-c6b2-4da5-a15b-11c18ca71e9d].[Year].[All]" allUniqueName="[DateTableTemplate_a0995974-c6b2-4da5-a15b-11c18ca71e9d].[Year].[All]" dimensionUniqueName="[DateTableTemplate_a0995974-c6b2-4da5-a15b-11c18ca71e9d]" displayFolder="" count="0" memberValueDatatype="20" unbalanced="0" hidden="1"/>
    <cacheHierarchy uniqueName="[LocalDateTable_8352efd8-3343-4232-be96-f1fdc38c8b76].[Date]" caption="Date" attribute="1" time="1" defaultMemberUniqueName="[LocalDateTable_8352efd8-3343-4232-be96-f1fdc38c8b76].[Date].[All]" allUniqueName="[LocalDateTable_8352efd8-3343-4232-be96-f1fdc38c8b76].[Date].[All]" dimensionUniqueName="[LocalDateTable_8352efd8-3343-4232-be96-f1fdc38c8b76]" displayFolder="" count="0" memberValueDatatype="7" unbalanced="0" hidden="1"/>
    <cacheHierarchy uniqueName="[LocalDateTable_8352efd8-3343-4232-be96-f1fdc38c8b76].[Date Hierarchy]" caption="Date Hierarchy" defaultMemberUniqueName="[LocalDateTable_8352efd8-3343-4232-be96-f1fdc38c8b76].[Date Hierarchy].[All]" allUniqueName="[LocalDateTable_8352efd8-3343-4232-be96-f1fdc38c8b76].[Date Hierarchy].[All]" dimensionUniqueName="[LocalDateTable_8352efd8-3343-4232-be96-f1fdc38c8b76]" displayFolder="" count="0" unbalanced="0" hidden="1"/>
    <cacheHierarchy uniqueName="[LocalDateTable_8352efd8-3343-4232-be96-f1fdc38c8b76].[Day]" caption="Day" attribute="1" defaultMemberUniqueName="[LocalDateTable_8352efd8-3343-4232-be96-f1fdc38c8b76].[Day].[All]" allUniqueName="[LocalDateTable_8352efd8-3343-4232-be96-f1fdc38c8b76].[Day].[All]" dimensionUniqueName="[LocalDateTable_8352efd8-3343-4232-be96-f1fdc38c8b76]" displayFolder="" count="0" memberValueDatatype="20" unbalanced="0" hidden="1"/>
    <cacheHierarchy uniqueName="[LocalDateTable_8352efd8-3343-4232-be96-f1fdc38c8b76].[Month]" caption="Month" attribute="1" defaultMemberUniqueName="[LocalDateTable_8352efd8-3343-4232-be96-f1fdc38c8b76].[Month].[All]" allUniqueName="[LocalDateTable_8352efd8-3343-4232-be96-f1fdc38c8b76].[Month].[All]" dimensionUniqueName="[LocalDateTable_8352efd8-3343-4232-be96-f1fdc38c8b76]" displayFolder="" count="0" memberValueDatatype="130" unbalanced="0" hidden="1"/>
    <cacheHierarchy uniqueName="[LocalDateTable_8352efd8-3343-4232-be96-f1fdc38c8b76].[MonthNo]" caption="MonthNo" attribute="1" defaultMemberUniqueName="[LocalDateTable_8352efd8-3343-4232-be96-f1fdc38c8b76].[MonthNo].[All]" allUniqueName="[LocalDateTable_8352efd8-3343-4232-be96-f1fdc38c8b76].[MonthNo].[All]" dimensionUniqueName="[LocalDateTable_8352efd8-3343-4232-be96-f1fdc38c8b76]" displayFolder="" count="0" memberValueDatatype="20" unbalanced="0" hidden="1"/>
    <cacheHierarchy uniqueName="[LocalDateTable_8352efd8-3343-4232-be96-f1fdc38c8b76].[Quarter]" caption="Quarter" attribute="1" defaultMemberUniqueName="[LocalDateTable_8352efd8-3343-4232-be96-f1fdc38c8b76].[Quarter].[All]" allUniqueName="[LocalDateTable_8352efd8-3343-4232-be96-f1fdc38c8b76].[Quarter].[All]" dimensionUniqueName="[LocalDateTable_8352efd8-3343-4232-be96-f1fdc38c8b76]" displayFolder="" count="0" memberValueDatatype="130" unbalanced="0" hidden="1"/>
    <cacheHierarchy uniqueName="[LocalDateTable_8352efd8-3343-4232-be96-f1fdc38c8b76].[QuarterNo]" caption="QuarterNo" attribute="1" defaultMemberUniqueName="[LocalDateTable_8352efd8-3343-4232-be96-f1fdc38c8b76].[QuarterNo].[All]" allUniqueName="[LocalDateTable_8352efd8-3343-4232-be96-f1fdc38c8b76].[QuarterNo].[All]" dimensionUniqueName="[LocalDateTable_8352efd8-3343-4232-be96-f1fdc38c8b76]" displayFolder="" count="0" memberValueDatatype="20" unbalanced="0" hidden="1"/>
    <cacheHierarchy uniqueName="[LocalDateTable_8352efd8-3343-4232-be96-f1fdc38c8b76].[Year]" caption="Year" attribute="1" defaultMemberUniqueName="[LocalDateTable_8352efd8-3343-4232-be96-f1fdc38c8b76].[Year].[All]" allUniqueName="[LocalDateTable_8352efd8-3343-4232-be96-f1fdc38c8b76].[Year].[All]" dimensionUniqueName="[LocalDateTable_8352efd8-3343-4232-be96-f1fdc38c8b76]" displayFolder="" count="0" memberValueDatatype="20" unbalanced="0" hidden="1"/>
    <cacheHierarchy uniqueName="[Measures ].[Measures  Fields]" caption="Measures  Fields" attribute="1" defaultMemberUniqueName="[Measures ].[Measures  Fields].[All]" allUniqueName="[Measures ].[Measures  Fields].[All]" dimensionUniqueName="[Measures ]" displayFolder="" count="0" memberValueDatatype="130" unbalanced="0" hidden="1"/>
    <cacheHierarchy uniqueName="[Measures ].[Measures  Order]" caption="Measures  Order" attribute="1" defaultMemberUniqueName="[Measures ].[Measures  Order].[All]" allUniqueName="[Measures ].[Measures  Order].[All]" dimensionUniqueName="[Measures ]" displayFolder="" count="0" memberValueDatatype="20" unbalanced="0" hidden="1"/>
    <cacheHierarchy uniqueName="[Measures].[SUMTotal]" caption="SUMTotal" measure="1" displayFolder="" measureGroup="Sales" count="0" oneField="1">
      <fieldsUsage count="1">
        <fieldUsage x="1"/>
      </fieldsUsage>
    </cacheHierarchy>
    <cacheHierarchy uniqueName="[Measures].[Total Cost]" caption="Total Cost" measure="1" displayFolder="" measureGroup="Sales" count="0"/>
    <cacheHierarchy uniqueName="[Measures].[Total Quantity]" caption="Total Quantity" measure="1" displayFolder="" measureGroup="Sales" count="0"/>
    <cacheHierarchy uniqueName="[Measures].[Total Profit]" caption="Total Profit" measure="1" displayFolder="" measureGroup="Sales" count="0"/>
    <cacheHierarchy uniqueName="[Measures].[Profit Margin]" caption="Profit Margin" measure="1" displayFolder="" measureGroup="Sales" count="0"/>
    <cacheHierarchy uniqueName="[Measures].[Sales YTD]" caption="Sales YTD" measure="1" displayFolder="" measureGroup="Sales" count="0"/>
    <cacheHierarchy uniqueName="[Measures].[Profit YTD]" caption="Profit YTD" measure="1" displayFolder="" measureGroup="Sales" count="0"/>
    <cacheHierarchy uniqueName="[Measures].[Quantity YTD]" caption="Quantity YTD" measure="1" displayFolder="" measureGroup="Sales" count="0"/>
    <cacheHierarchy uniqueName="[Measures].[Sales Growth]" caption="Sales Growth" measure="1" displayFolder="" measureGroup="Sales" count="0"/>
    <cacheHierarchy uniqueName="[Measures].[Sales Growth %]" caption="Sales Growth %" measure="1" displayFolder="" measureGroup="Sales" count="0"/>
    <cacheHierarchy uniqueName="[Measures].[Sales PY]" caption="Sales PY" measure="1" displayFolder="" measureGroup="Sales" count="0"/>
    <cacheHierarchy uniqueName="[Measures].[Sales PM]" caption="Sales PM" measure="1" displayFolder="" measureGroup="Sales" count="0"/>
    <cacheHierarchy uniqueName="[Measures].[MoM Growth]" caption="MoM Growth" measure="1" displayFolder="" measureGroup="Sales" count="0"/>
    <cacheHierarchy uniqueName="[Measures].[MoM Growth %]" caption="MoM Growth %" measure="1" displayFolder="" measureGroup="Sales" count="0"/>
    <cacheHierarchy uniqueName="[Measures].[Rolling 12 Month Sales]" caption="Rolling 12 Month Sales" measure="1" displayFolder="" measureGroup="Sales" count="0"/>
    <cacheHierarchy uniqueName="[Measures].[3 Month Moving Avg]" caption="3 Month Moving Avg" measure="1" displayFolder="" measureGroup="Sales" count="0"/>
    <cacheHierarchy uniqueName="[Measures].[Category Sales YTD]" caption="Category Sales YTD" measure="1" displayFolder="" measureGroup="Sales" count="0"/>
    <cacheHierarchy uniqueName="[Measures].[Region Sales PY]" caption="Region Sales PY" measure="1" displayFolder="" measureGroup="Sales" count="0"/>
    <cacheHierarchy uniqueName="[Measures].[Country vs Previous Year]" caption="Country vs Previous Year" measure="1" displayFolder="" measureGroup="Sales" count="0"/>
    <cacheHierarchy uniqueName="[Measures].[Revenue Growth %]" caption="Revenue Growth %" measure="1" displayFolder="" measureGroup="Sales" count="0"/>
    <cacheHierarchy uniqueName="[Measures].[Profit Growth]" caption="Profit Growth" measure="1" displayFolder="" measureGroup="Sales" count="0"/>
    <cacheHierarchy uniqueName="[Measures].[Best Month]" caption="Best Month" measure="1" displayFolder="" measureGroup="Sales" count="0"/>
    <cacheHierarchy uniqueName="[Measures].[Salesperson YTD]" caption="Salesperson YTD" measure="1" displayFolder="" measureGroup="Sales" count="0"/>
    <cacheHierarchy uniqueName="[Measures].[YoY Growth]" caption="YoY Growth" measure="1" displayFolder="" measureGroup="Sales" count="0"/>
    <cacheHierarchy uniqueName="[Measures].[YoY Growth %]" caption="YoY Growth %" measure="1" displayFolder="" measureGroup="Sales" count="0"/>
    <cacheHierarchy uniqueName="[Measures].[__Default measure]" caption="__Default measure" measure="1" displayFolder="" count="0" hidden="1"/>
  </cacheHierarchies>
  <kpis count="0"/>
  <dimensions count="9">
    <dimension name="Breakdown" uniqueName="[Breakdown]" caption="Breakdown"/>
    <dimension name="Calendar Table" uniqueName="[Calendar Table]" caption="Calendar Table"/>
    <dimension name="Date" uniqueName="[Date]" caption="Date"/>
    <dimension measure="1" name="Measures" uniqueName="[Measures]" caption="Measures"/>
    <dimension name="Measures " uniqueName="[Measures ]" caption="Measures "/>
    <dimension name="Products" uniqueName="[Products]" caption="Products"/>
    <dimension name="Region" uniqueName="[Region]" caption="Region"/>
    <dimension name="Sales" uniqueName="[Sales]" caption="Sales"/>
    <dimension name="Salesperson" uniqueName="[Salesperson]" caption="Salesperson"/>
  </dimensions>
  <measureGroups count="10">
    <measureGroup name="Breakdown" caption="Breakdown"/>
    <measureGroup name="Calendar Table" caption="Calendar Table"/>
    <measureGroup name="Date" caption="Date"/>
    <measureGroup name="DateTableTemplate_a0995974-c6b2-4da5-a15b-11c18ca71e9d" caption="DateTableTemplate_a0995974-c6b2-4da5-a15b-11c18ca71e9d"/>
    <measureGroup name="LocalDateTable_8352efd8-3343-4232-be96-f1fdc38c8b76" caption="LocalDateTable_8352efd8-3343-4232-be96-f1fdc38c8b76"/>
    <measureGroup name="Measures " caption="Measures "/>
    <measureGroup name="Products" caption="Products"/>
    <measureGroup name="Region" caption="Region"/>
    <measureGroup name="Sales" caption="Sales"/>
    <measureGroup name="Salesperson" caption="Salesperson"/>
  </measureGroups>
  <maps count="13">
    <map measureGroup="0" dimension="0"/>
    <map measureGroup="1" dimension="1"/>
    <map measureGroup="2" dimension="2"/>
    <map measureGroup="5" dimension="4"/>
    <map measureGroup="6" dimension="5"/>
    <map measureGroup="7" dimension="6"/>
    <map measureGroup="8" dimension="1"/>
    <map measureGroup="8" dimension="2"/>
    <map measureGroup="8" dimension="5"/>
    <map measureGroup="8" dimension="6"/>
    <map measureGroup="8" dimension="7"/>
    <map measureGroup="8" dimension="8"/>
    <map measureGroup="9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6D55F-EB66-4C35-982F-EC30CE1E2C08}" name="PivotTable2" cacheId="8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fieldListSortAscending="1">
  <location ref="B18:G24" firstHeaderRow="1" firstDataRow="2" firstDataCol="1"/>
  <pivotFields count="4">
    <pivotField allDrilled="1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dataField="1" showAll="0"/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fld="1" baseField="0" baseItem="0"/>
  </dataFields>
  <pivotHierarchies count="9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7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fieldListSortAscending="1">
  <location ref="B1:G15" firstHeaderRow="1" firstDataRow="2" firstDataCol="1"/>
  <pivotFields count="3">
    <pivotField axis="axisRow" allDrilled="1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baseField="0" baseItem="0"/>
  </dataFields>
  <pivotHierarchies count="9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3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18" sqref="B18"/>
    </sheetView>
  </sheetViews>
  <sheetFormatPr defaultRowHeight="14.7" x14ac:dyDescent="0.45"/>
  <cols>
    <col min="2" max="2" width="13.1796875" bestFit="1" customWidth="1"/>
    <col min="3" max="3" width="16.1328125" bestFit="1" customWidth="1"/>
    <col min="4" max="6" width="13.31640625" bestFit="1" customWidth="1"/>
    <col min="7" max="9" width="12.1328125" bestFit="1" customWidth="1"/>
    <col min="10" max="10" width="13.31640625" bestFit="1" customWidth="1"/>
    <col min="11" max="12" width="12.1328125" bestFit="1" customWidth="1"/>
    <col min="13" max="13" width="13.31640625" bestFit="1" customWidth="1"/>
    <col min="14" max="14" width="12.1328125" bestFit="1" customWidth="1"/>
    <col min="15" max="15" width="13.31640625" bestFit="1" customWidth="1"/>
    <col min="16" max="16" width="11" bestFit="1" customWidth="1"/>
    <col min="17" max="17" width="12.1328125" bestFit="1" customWidth="1"/>
    <col min="18" max="18" width="13.31640625" bestFit="1" customWidth="1"/>
    <col min="19" max="19" width="12.1328125" bestFit="1" customWidth="1"/>
  </cols>
  <sheetData>
    <row r="1" spans="1:7" x14ac:dyDescent="0.45">
      <c r="B1" s="1" t="s">
        <v>19</v>
      </c>
      <c r="C1" s="1" t="s">
        <v>0</v>
      </c>
    </row>
    <row r="2" spans="1:7" x14ac:dyDescent="0.45">
      <c r="A2" t="s">
        <v>20</v>
      </c>
      <c r="B2" s="1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13</v>
      </c>
    </row>
    <row r="3" spans="1:7" x14ac:dyDescent="0.45">
      <c r="A3">
        <f>MONTH(DATEVALUE(B3&amp;" 1"))</f>
        <v>1</v>
      </c>
      <c r="B3" s="2" t="s">
        <v>5</v>
      </c>
      <c r="C3" s="3"/>
      <c r="D3" s="3">
        <v>713229.53999999969</v>
      </c>
      <c r="E3" s="3">
        <v>1318592.009999997</v>
      </c>
      <c r="F3" s="3">
        <v>1664187.4999999944</v>
      </c>
      <c r="G3" s="3">
        <v>3696009.049999991</v>
      </c>
    </row>
    <row r="4" spans="1:7" x14ac:dyDescent="0.45">
      <c r="A4">
        <f t="shared" ref="A4:A14" si="0">MONTH(DATEVALUE(B4&amp;" 1"))</f>
        <v>2</v>
      </c>
      <c r="B4" s="2" t="s">
        <v>4</v>
      </c>
      <c r="C4" s="3"/>
      <c r="D4" s="3">
        <v>1900794.4599999995</v>
      </c>
      <c r="E4" s="3">
        <v>2386073.1899999883</v>
      </c>
      <c r="F4" s="3">
        <v>2701954.0499999966</v>
      </c>
      <c r="G4" s="3">
        <v>6988821.6999999844</v>
      </c>
    </row>
    <row r="5" spans="1:7" x14ac:dyDescent="0.45">
      <c r="A5">
        <f t="shared" si="0"/>
        <v>3</v>
      </c>
      <c r="B5" s="2" t="s">
        <v>8</v>
      </c>
      <c r="C5" s="3"/>
      <c r="D5" s="3">
        <v>1455280.2699999956</v>
      </c>
      <c r="E5" s="3">
        <v>1564294.9199999948</v>
      </c>
      <c r="F5" s="3">
        <v>2741182.95</v>
      </c>
      <c r="G5" s="3">
        <v>5760758.1399999904</v>
      </c>
    </row>
    <row r="6" spans="1:7" x14ac:dyDescent="0.45">
      <c r="A6">
        <f t="shared" si="0"/>
        <v>4</v>
      </c>
      <c r="B6" s="2" t="s">
        <v>1</v>
      </c>
      <c r="C6" s="3"/>
      <c r="D6" s="3">
        <v>883010.97999999893</v>
      </c>
      <c r="E6" s="3">
        <v>1868433.3499999915</v>
      </c>
      <c r="F6" s="3">
        <v>2214090.8299999852</v>
      </c>
      <c r="G6" s="3">
        <v>4965535.1599999759</v>
      </c>
    </row>
    <row r="7" spans="1:7" x14ac:dyDescent="0.45">
      <c r="A7">
        <f t="shared" si="0"/>
        <v>5</v>
      </c>
      <c r="B7" s="2" t="s">
        <v>9</v>
      </c>
      <c r="C7" s="3"/>
      <c r="D7" s="3">
        <v>2269719.8699999987</v>
      </c>
      <c r="E7" s="3">
        <v>2882637.5800000005</v>
      </c>
      <c r="F7" s="3">
        <v>3328607.4600000065</v>
      </c>
      <c r="G7" s="3">
        <v>8480964.9100000057</v>
      </c>
    </row>
    <row r="8" spans="1:7" x14ac:dyDescent="0.45">
      <c r="A8">
        <f t="shared" si="0"/>
        <v>6</v>
      </c>
      <c r="B8" s="2" t="s">
        <v>7</v>
      </c>
      <c r="C8" s="3"/>
      <c r="D8" s="3">
        <v>1137251.8999999983</v>
      </c>
      <c r="E8" s="3">
        <v>1990249.2499999935</v>
      </c>
      <c r="F8" s="3"/>
      <c r="G8" s="3">
        <v>3127501.149999992</v>
      </c>
    </row>
    <row r="9" spans="1:7" x14ac:dyDescent="0.45">
      <c r="A9">
        <f t="shared" si="0"/>
        <v>7</v>
      </c>
      <c r="B9" s="2" t="s">
        <v>6</v>
      </c>
      <c r="C9" s="3">
        <v>489328.40000000049</v>
      </c>
      <c r="D9" s="3">
        <v>2411558.8499999936</v>
      </c>
      <c r="E9" s="3">
        <v>2729167.0299999919</v>
      </c>
      <c r="F9" s="3"/>
      <c r="G9" s="3">
        <v>5630054.2799999863</v>
      </c>
    </row>
    <row r="10" spans="1:7" x14ac:dyDescent="0.45">
      <c r="A10">
        <f t="shared" si="0"/>
        <v>8</v>
      </c>
      <c r="B10" s="2" t="s">
        <v>2</v>
      </c>
      <c r="C10" s="3">
        <v>1540072.0199999956</v>
      </c>
      <c r="D10" s="3">
        <v>3615914.4600000307</v>
      </c>
      <c r="E10" s="3">
        <v>4306549.1400000239</v>
      </c>
      <c r="F10" s="3"/>
      <c r="G10" s="3">
        <v>9462535.6200000495</v>
      </c>
    </row>
    <row r="11" spans="1:7" x14ac:dyDescent="0.45">
      <c r="A11">
        <f t="shared" si="0"/>
        <v>9</v>
      </c>
      <c r="B11" s="2" t="s">
        <v>12</v>
      </c>
      <c r="C11" s="3">
        <v>1166332.4499999969</v>
      </c>
      <c r="D11" s="3">
        <v>2894646.6099999878</v>
      </c>
      <c r="E11" s="3">
        <v>4153399.3500000136</v>
      </c>
      <c r="F11" s="3"/>
      <c r="G11" s="3">
        <v>8214378.4099999983</v>
      </c>
    </row>
    <row r="12" spans="1:7" x14ac:dyDescent="0.45">
      <c r="A12">
        <f t="shared" si="0"/>
        <v>10</v>
      </c>
      <c r="B12" s="2" t="s">
        <v>11</v>
      </c>
      <c r="C12" s="3">
        <v>844832.70999999961</v>
      </c>
      <c r="D12" s="3">
        <v>1804176.9299999934</v>
      </c>
      <c r="E12" s="3">
        <v>2293200.4299999857</v>
      </c>
      <c r="F12" s="3"/>
      <c r="G12" s="3">
        <v>4942210.0699999789</v>
      </c>
    </row>
    <row r="13" spans="1:7" x14ac:dyDescent="0.45">
      <c r="A13">
        <f t="shared" si="0"/>
        <v>11</v>
      </c>
      <c r="B13" s="2" t="s">
        <v>10</v>
      </c>
      <c r="C13" s="3">
        <v>2325754.9099999974</v>
      </c>
      <c r="D13" s="3">
        <v>3054996.7200000049</v>
      </c>
      <c r="E13" s="3">
        <v>3490438.0300000133</v>
      </c>
      <c r="F13" s="3"/>
      <c r="G13" s="3">
        <v>8871189.6600000151</v>
      </c>
    </row>
    <row r="14" spans="1:7" x14ac:dyDescent="0.45">
      <c r="A14">
        <f t="shared" si="0"/>
        <v>12</v>
      </c>
      <c r="B14" s="2" t="s">
        <v>3</v>
      </c>
      <c r="C14" s="3">
        <v>1703435.0899999943</v>
      </c>
      <c r="D14" s="3">
        <v>2188205.6599999913</v>
      </c>
      <c r="E14" s="3">
        <v>3516971.3000000208</v>
      </c>
      <c r="F14" s="3"/>
      <c r="G14" s="3">
        <v>7408612.0500000063</v>
      </c>
    </row>
    <row r="15" spans="1:7" x14ac:dyDescent="0.45">
      <c r="B15" s="2" t="s">
        <v>13</v>
      </c>
      <c r="C15" s="3">
        <v>8069755.5799999842</v>
      </c>
      <c r="D15" s="3">
        <v>24328786.249999993</v>
      </c>
      <c r="E15" s="3">
        <v>32500005.580000013</v>
      </c>
      <c r="F15" s="3">
        <v>12650022.789999982</v>
      </c>
      <c r="G15" s="3">
        <v>77548570.199999973</v>
      </c>
    </row>
    <row r="18" spans="2:7" x14ac:dyDescent="0.45">
      <c r="B18" s="1" t="s">
        <v>19</v>
      </c>
      <c r="C18" s="1" t="s">
        <v>0</v>
      </c>
    </row>
    <row r="19" spans="2:7" x14ac:dyDescent="0.45">
      <c r="B19" s="1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13</v>
      </c>
    </row>
    <row r="20" spans="2:7" x14ac:dyDescent="0.45">
      <c r="B20" s="2" t="s">
        <v>21</v>
      </c>
      <c r="C20" s="3"/>
      <c r="D20" s="3">
        <v>4069304.2699999758</v>
      </c>
      <c r="E20" s="3">
        <v>5268960.1200000718</v>
      </c>
      <c r="F20" s="3">
        <v>7107324.5000000335</v>
      </c>
      <c r="G20" s="3">
        <v>16445588.89000009</v>
      </c>
    </row>
    <row r="21" spans="2:7" x14ac:dyDescent="0.45">
      <c r="B21" s="2" t="s">
        <v>22</v>
      </c>
      <c r="C21" s="3"/>
      <c r="D21" s="3">
        <v>4289982.7499999776</v>
      </c>
      <c r="E21" s="3">
        <v>6741320.1800000714</v>
      </c>
      <c r="F21" s="3">
        <v>5542698.2900000559</v>
      </c>
      <c r="G21" s="3">
        <v>16574001.220000155</v>
      </c>
    </row>
    <row r="22" spans="2:7" x14ac:dyDescent="0.45">
      <c r="B22" s="2" t="s">
        <v>23</v>
      </c>
      <c r="C22" s="3">
        <v>3195732.8700000062</v>
      </c>
      <c r="D22" s="3">
        <v>8922119.9200000651</v>
      </c>
      <c r="E22" s="3">
        <v>11189115.52000016</v>
      </c>
      <c r="F22" s="3"/>
      <c r="G22" s="3">
        <v>23306968.310000245</v>
      </c>
    </row>
    <row r="23" spans="2:7" x14ac:dyDescent="0.45">
      <c r="B23" s="2" t="s">
        <v>24</v>
      </c>
      <c r="C23" s="3">
        <v>4874022.7099999702</v>
      </c>
      <c r="D23" s="3">
        <v>7047379.3100000722</v>
      </c>
      <c r="E23" s="3">
        <v>9300609.7600000724</v>
      </c>
      <c r="F23" s="3"/>
      <c r="G23" s="3">
        <v>21222011.780000132</v>
      </c>
    </row>
    <row r="24" spans="2:7" x14ac:dyDescent="0.45">
      <c r="B24" s="2" t="s">
        <v>13</v>
      </c>
      <c r="C24" s="3">
        <v>8069755.5799999759</v>
      </c>
      <c r="D24" s="3">
        <v>24328786.250000093</v>
      </c>
      <c r="E24" s="3">
        <v>32500005.580000374</v>
      </c>
      <c r="F24" s="3">
        <v>12650022.790000089</v>
      </c>
      <c r="G24" s="3">
        <v>77548570.199999973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Bicycle 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Abraham Eninla</cp:lastModifiedBy>
  <dcterms:modified xsi:type="dcterms:W3CDTF">2026-02-26T23:53:53Z</dcterms:modified>
</cp:coreProperties>
</file>